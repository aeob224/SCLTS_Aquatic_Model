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opy Cover Data" sheetId="1" r:id="rId5"/>
  </sheets>
  <definedNames/>
  <calcPr/>
</workbook>
</file>

<file path=xl/sharedStrings.xml><?xml version="1.0" encoding="utf-8"?>
<sst xmlns="http://schemas.openxmlformats.org/spreadsheetml/2006/main" count="85" uniqueCount="49">
  <si>
    <t>pond</t>
  </si>
  <si>
    <t>year</t>
  </si>
  <si>
    <t>larv_density</t>
  </si>
  <si>
    <t>canopy_cover</t>
  </si>
  <si>
    <t>log_larv_dens</t>
  </si>
  <si>
    <t>Alexander</t>
  </si>
  <si>
    <t>Buena Vista 1</t>
  </si>
  <si>
    <t>Caltrans 1</t>
  </si>
  <si>
    <t>Caltrans 5</t>
  </si>
  <si>
    <t>Caltrans 6</t>
  </si>
  <si>
    <t>Central</t>
  </si>
  <si>
    <t>Corralitos</t>
  </si>
  <si>
    <t>Ellicott</t>
  </si>
  <si>
    <t>Hix</t>
  </si>
  <si>
    <t>Howell</t>
  </si>
  <si>
    <t>Long Valley</t>
  </si>
  <si>
    <t>McClusky Slough</t>
  </si>
  <si>
    <t>Merk</t>
  </si>
  <si>
    <t>Millsap 1</t>
  </si>
  <si>
    <t>North Moro Cojo</t>
  </si>
  <si>
    <t>Prospect</t>
  </si>
  <si>
    <t>Shadowmere</t>
  </si>
  <si>
    <t>South Finger</t>
  </si>
  <si>
    <t>South Moro Cojo</t>
  </si>
  <si>
    <t>Swimming Pool</t>
  </si>
  <si>
    <t>Visitor Center</t>
  </si>
  <si>
    <t>Zmudowski</t>
  </si>
  <si>
    <t>Lower Cattail</t>
  </si>
  <si>
    <t>Millsap 2</t>
  </si>
  <si>
    <t>Seascape 1</t>
  </si>
  <si>
    <t>Tucker</t>
  </si>
  <si>
    <t>Valencia</t>
  </si>
  <si>
    <t>Oxbow</t>
  </si>
  <si>
    <t>Delaney</t>
  </si>
  <si>
    <t>Suess</t>
  </si>
  <si>
    <t>Carneros 2</t>
  </si>
  <si>
    <t>Pond N</t>
  </si>
  <si>
    <t>North County Parks</t>
  </si>
  <si>
    <t>Upper Cattail</t>
  </si>
  <si>
    <t>Racehorse</t>
  </si>
  <si>
    <t>Calabasas</t>
  </si>
  <si>
    <t>Buena Vista 2</t>
  </si>
  <si>
    <t>Seascape 2</t>
  </si>
  <si>
    <t>Seascape 3</t>
  </si>
  <si>
    <t>Pond R</t>
  </si>
  <si>
    <t>Carneros 1</t>
  </si>
  <si>
    <t>Willow Canyon</t>
  </si>
  <si>
    <t>Pond O</t>
  </si>
  <si>
    <t>Pond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</si>
</sst>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Font="1"/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>
        <v>2023.0</v>
      </c>
      <c r="C2" s="5">
        <v>0.0</v>
      </c>
      <c r="D2" s="5">
        <f>(0+0+86+96)/4</f>
        <v>45.5</v>
      </c>
      <c r="E2" s="6">
        <f t="shared" ref="E2:E81" si="1">log(C2+0.005399568)</f>
        <v>-2.267640985</v>
      </c>
    </row>
    <row r="3">
      <c r="A3" s="3" t="s">
        <v>6</v>
      </c>
      <c r="B3" s="4">
        <v>2023.0</v>
      </c>
      <c r="C3" s="5">
        <v>0.0</v>
      </c>
      <c r="D3" s="5">
        <f>(86+34+60+78)/4</f>
        <v>64.5</v>
      </c>
      <c r="E3" s="6">
        <f t="shared" si="1"/>
        <v>-2.267640985</v>
      </c>
    </row>
    <row r="4">
      <c r="A4" s="3" t="s">
        <v>7</v>
      </c>
      <c r="B4" s="4">
        <v>2023.0</v>
      </c>
      <c r="C4" s="5">
        <v>0.0</v>
      </c>
      <c r="D4" s="5">
        <f>(0+0+0+0)/4</f>
        <v>0</v>
      </c>
      <c r="E4" s="6">
        <f t="shared" si="1"/>
        <v>-2.267640985</v>
      </c>
    </row>
    <row r="5">
      <c r="A5" s="3" t="s">
        <v>8</v>
      </c>
      <c r="B5" s="4">
        <v>2023.0</v>
      </c>
      <c r="C5" s="5">
        <v>0.0</v>
      </c>
      <c r="D5" s="7">
        <v>0.0</v>
      </c>
      <c r="E5" s="6">
        <f t="shared" si="1"/>
        <v>-2.267640985</v>
      </c>
    </row>
    <row r="6">
      <c r="A6" s="3" t="s">
        <v>9</v>
      </c>
      <c r="B6" s="4">
        <v>2023.0</v>
      </c>
      <c r="C6" s="5">
        <v>0.0</v>
      </c>
      <c r="D6" s="5">
        <f>(0+0+10+6)/4</f>
        <v>4</v>
      </c>
      <c r="E6" s="6">
        <f t="shared" si="1"/>
        <v>-2.267640985</v>
      </c>
    </row>
    <row r="7">
      <c r="A7" s="3" t="s">
        <v>10</v>
      </c>
      <c r="B7" s="4">
        <v>2023.0</v>
      </c>
      <c r="C7" s="5">
        <v>0.0</v>
      </c>
      <c r="D7" s="5">
        <f>0+0+0+16/4</f>
        <v>4</v>
      </c>
      <c r="E7" s="6">
        <f t="shared" si="1"/>
        <v>-2.267640985</v>
      </c>
    </row>
    <row r="8">
      <c r="A8" s="3" t="s">
        <v>11</v>
      </c>
      <c r="B8" s="4">
        <v>2023.0</v>
      </c>
      <c r="C8" s="5">
        <v>0.0</v>
      </c>
      <c r="D8" s="5">
        <f>(94+90+100+96)/4</f>
        <v>95</v>
      </c>
      <c r="E8" s="6">
        <f t="shared" si="1"/>
        <v>-2.267640985</v>
      </c>
    </row>
    <row r="9">
      <c r="A9" s="3" t="s">
        <v>12</v>
      </c>
      <c r="B9" s="4">
        <v>2023.0</v>
      </c>
      <c r="C9" s="5">
        <v>0.0</v>
      </c>
      <c r="D9" s="5">
        <f>(0+0+0+100)/4</f>
        <v>25</v>
      </c>
      <c r="E9" s="6">
        <f t="shared" si="1"/>
        <v>-2.267640985</v>
      </c>
    </row>
    <row r="10">
      <c r="A10" s="3" t="s">
        <v>13</v>
      </c>
      <c r="B10" s="4">
        <v>2023.0</v>
      </c>
      <c r="C10" s="5">
        <v>0.0</v>
      </c>
      <c r="D10" s="5">
        <f>(0+0+1+0)/4</f>
        <v>0.25</v>
      </c>
      <c r="E10" s="6">
        <f t="shared" si="1"/>
        <v>-2.267640985</v>
      </c>
    </row>
    <row r="11">
      <c r="A11" s="3" t="s">
        <v>14</v>
      </c>
      <c r="B11" s="4">
        <v>2023.0</v>
      </c>
      <c r="C11" s="5">
        <v>0.0</v>
      </c>
      <c r="D11" s="5">
        <f>0+0+0/3</f>
        <v>0</v>
      </c>
      <c r="E11" s="6">
        <f t="shared" si="1"/>
        <v>-2.267640985</v>
      </c>
    </row>
    <row r="12">
      <c r="A12" s="3" t="s">
        <v>15</v>
      </c>
      <c r="B12" s="4">
        <v>2023.0</v>
      </c>
      <c r="C12" s="5">
        <v>0.0</v>
      </c>
      <c r="D12" s="5">
        <f>0+0+0+0/4</f>
        <v>0</v>
      </c>
      <c r="E12" s="6">
        <f t="shared" si="1"/>
        <v>-2.267640985</v>
      </c>
    </row>
    <row r="13">
      <c r="A13" s="3" t="s">
        <v>16</v>
      </c>
      <c r="B13" s="4">
        <v>2023.0</v>
      </c>
      <c r="C13" s="5">
        <v>0.0</v>
      </c>
      <c r="D13" s="5">
        <f>0+0+2+16</f>
        <v>18</v>
      </c>
      <c r="E13" s="6">
        <f t="shared" si="1"/>
        <v>-2.267640985</v>
      </c>
    </row>
    <row r="14">
      <c r="A14" s="3" t="s">
        <v>17</v>
      </c>
      <c r="B14" s="4">
        <v>2023.0</v>
      </c>
      <c r="C14" s="5">
        <v>0.0</v>
      </c>
      <c r="D14" s="5">
        <f>(0+95+100+80)/4</f>
        <v>68.75</v>
      </c>
      <c r="E14" s="6">
        <f t="shared" si="1"/>
        <v>-2.267640985</v>
      </c>
    </row>
    <row r="15">
      <c r="A15" s="3" t="s">
        <v>18</v>
      </c>
      <c r="B15" s="4">
        <v>2023.0</v>
      </c>
      <c r="C15" s="5">
        <v>0.0</v>
      </c>
      <c r="D15" s="5">
        <f>(50+78+88)/3</f>
        <v>72</v>
      </c>
      <c r="E15" s="6">
        <f t="shared" si="1"/>
        <v>-2.267640985</v>
      </c>
    </row>
    <row r="16">
      <c r="A16" s="3" t="s">
        <v>19</v>
      </c>
      <c r="B16" s="4">
        <v>2023.0</v>
      </c>
      <c r="C16" s="5">
        <v>0.0</v>
      </c>
      <c r="D16" s="5">
        <f>0+0+0+0/4</f>
        <v>0</v>
      </c>
      <c r="E16" s="6">
        <f t="shared" si="1"/>
        <v>-2.267640985</v>
      </c>
    </row>
    <row r="17">
      <c r="A17" s="3" t="s">
        <v>20</v>
      </c>
      <c r="B17" s="4">
        <v>2023.0</v>
      </c>
      <c r="C17" s="5">
        <v>0.0</v>
      </c>
      <c r="D17" s="5">
        <v>0.0</v>
      </c>
      <c r="E17" s="6">
        <f t="shared" si="1"/>
        <v>-2.267640985</v>
      </c>
    </row>
    <row r="18">
      <c r="A18" s="3" t="s">
        <v>21</v>
      </c>
      <c r="B18" s="4">
        <v>2023.0</v>
      </c>
      <c r="C18" s="5">
        <v>0.0</v>
      </c>
      <c r="D18" s="5">
        <f>(80+80+40+25)/4</f>
        <v>56.25</v>
      </c>
      <c r="E18" s="6">
        <f t="shared" si="1"/>
        <v>-2.267640985</v>
      </c>
    </row>
    <row r="19">
      <c r="A19" s="3" t="s">
        <v>22</v>
      </c>
      <c r="B19" s="4">
        <v>2023.0</v>
      </c>
      <c r="C19" s="5">
        <v>0.0</v>
      </c>
      <c r="D19" s="5">
        <f>(0+0+0+50)/4</f>
        <v>12.5</v>
      </c>
      <c r="E19" s="6">
        <f t="shared" si="1"/>
        <v>-2.267640985</v>
      </c>
    </row>
    <row r="20">
      <c r="A20" s="3" t="s">
        <v>23</v>
      </c>
      <c r="B20" s="4">
        <v>2023.0</v>
      </c>
      <c r="C20" s="5">
        <v>0.0</v>
      </c>
      <c r="D20" s="5">
        <f>(100+0+0+0)/4</f>
        <v>25</v>
      </c>
      <c r="E20" s="6">
        <f t="shared" si="1"/>
        <v>-2.267640985</v>
      </c>
    </row>
    <row r="21">
      <c r="A21" s="3" t="s">
        <v>24</v>
      </c>
      <c r="B21" s="4">
        <v>2023.0</v>
      </c>
      <c r="C21" s="5">
        <v>0.0</v>
      </c>
      <c r="D21" s="5">
        <f>0+0+0+12/4</f>
        <v>3</v>
      </c>
      <c r="E21" s="6">
        <f t="shared" si="1"/>
        <v>-2.267640985</v>
      </c>
    </row>
    <row r="22">
      <c r="A22" s="8" t="s">
        <v>25</v>
      </c>
      <c r="B22" s="4">
        <v>2023.0</v>
      </c>
      <c r="C22" s="5">
        <v>0.0</v>
      </c>
      <c r="D22" s="5">
        <f>0+0+0+0/4</f>
        <v>0</v>
      </c>
      <c r="E22" s="6">
        <f t="shared" si="1"/>
        <v>-2.267640985</v>
      </c>
    </row>
    <row r="23">
      <c r="A23" s="3" t="s">
        <v>26</v>
      </c>
      <c r="B23" s="4">
        <v>2023.0</v>
      </c>
      <c r="C23" s="5">
        <v>0.0</v>
      </c>
      <c r="D23" s="5">
        <f>0+0+0+100/4 </f>
        <v>25</v>
      </c>
      <c r="E23" s="6">
        <f t="shared" si="1"/>
        <v>-2.267640985</v>
      </c>
    </row>
    <row r="24">
      <c r="A24" s="3" t="s">
        <v>10</v>
      </c>
      <c r="B24" s="4">
        <v>2024.0</v>
      </c>
      <c r="C24" s="9">
        <v>0.0</v>
      </c>
      <c r="D24" s="5">
        <f>(0+0+0+0)/4</f>
        <v>0</v>
      </c>
      <c r="E24" s="6">
        <f t="shared" si="1"/>
        <v>-2.267640985</v>
      </c>
    </row>
    <row r="25">
      <c r="A25" s="3" t="s">
        <v>13</v>
      </c>
      <c r="B25" s="4">
        <v>2024.0</v>
      </c>
      <c r="C25" s="9">
        <v>0.0</v>
      </c>
      <c r="D25" s="5">
        <f>(2+0+0+0)/4</f>
        <v>0.5</v>
      </c>
      <c r="E25" s="6">
        <f t="shared" si="1"/>
        <v>-2.267640985</v>
      </c>
    </row>
    <row r="26">
      <c r="A26" s="3" t="s">
        <v>14</v>
      </c>
      <c r="B26" s="4">
        <v>2024.0</v>
      </c>
      <c r="C26" s="9">
        <v>0.0</v>
      </c>
      <c r="D26" s="5">
        <f>(7+0+0+43)/4</f>
        <v>12.5</v>
      </c>
      <c r="E26" s="6">
        <f t="shared" si="1"/>
        <v>-2.267640985</v>
      </c>
    </row>
    <row r="27">
      <c r="A27" s="3" t="s">
        <v>27</v>
      </c>
      <c r="B27" s="4">
        <v>2024.0</v>
      </c>
      <c r="C27" s="9">
        <v>0.0</v>
      </c>
      <c r="D27" s="5">
        <f>(92+0+44+0)/4</f>
        <v>34</v>
      </c>
      <c r="E27" s="6">
        <f t="shared" si="1"/>
        <v>-2.267640985</v>
      </c>
    </row>
    <row r="28">
      <c r="A28" s="3" t="s">
        <v>17</v>
      </c>
      <c r="B28" s="4">
        <v>2024.0</v>
      </c>
      <c r="C28" s="9">
        <v>0.0</v>
      </c>
      <c r="D28" s="5">
        <f>(96+96+91+89)/4</f>
        <v>93</v>
      </c>
      <c r="E28" s="6">
        <f t="shared" si="1"/>
        <v>-2.267640985</v>
      </c>
    </row>
    <row r="29">
      <c r="A29" s="8" t="s">
        <v>18</v>
      </c>
      <c r="B29" s="4">
        <v>2024.0</v>
      </c>
      <c r="C29" s="9">
        <v>0.0</v>
      </c>
      <c r="D29" s="5">
        <f>(91+94+84+92)/4</f>
        <v>90.25</v>
      </c>
      <c r="E29" s="6">
        <f t="shared" si="1"/>
        <v>-2.267640985</v>
      </c>
    </row>
    <row r="30">
      <c r="A30" s="8" t="s">
        <v>28</v>
      </c>
      <c r="B30" s="4">
        <v>2024.0</v>
      </c>
      <c r="C30" s="9">
        <v>0.0</v>
      </c>
      <c r="D30" s="5">
        <f>(0+1+3+0)/4</f>
        <v>1</v>
      </c>
      <c r="E30" s="6">
        <f t="shared" si="1"/>
        <v>-2.267640985</v>
      </c>
    </row>
    <row r="31">
      <c r="A31" s="3" t="s">
        <v>19</v>
      </c>
      <c r="B31" s="4">
        <v>2024.0</v>
      </c>
      <c r="C31" s="9">
        <v>0.0</v>
      </c>
      <c r="D31" s="5">
        <f>(0+0+0+5)/4</f>
        <v>1.25</v>
      </c>
      <c r="E31" s="6">
        <f t="shared" si="1"/>
        <v>-2.267640985</v>
      </c>
    </row>
    <row r="32">
      <c r="A32" s="3" t="s">
        <v>29</v>
      </c>
      <c r="B32" s="4">
        <v>2024.0</v>
      </c>
      <c r="C32" s="9">
        <v>0.0</v>
      </c>
      <c r="D32" s="5">
        <f>(70+37+48+94)/4</f>
        <v>62.25</v>
      </c>
      <c r="E32" s="6">
        <f t="shared" si="1"/>
        <v>-2.267640985</v>
      </c>
    </row>
    <row r="33">
      <c r="A33" s="3" t="s">
        <v>21</v>
      </c>
      <c r="B33" s="4">
        <v>2024.0</v>
      </c>
      <c r="C33" s="9">
        <v>0.0</v>
      </c>
      <c r="D33" s="5">
        <f>(92+90+96)/3</f>
        <v>92.66666667</v>
      </c>
      <c r="E33" s="6">
        <f t="shared" si="1"/>
        <v>-2.267640985</v>
      </c>
    </row>
    <row r="34">
      <c r="A34" s="3" t="s">
        <v>24</v>
      </c>
      <c r="B34" s="4">
        <v>2024.0</v>
      </c>
      <c r="C34" s="9">
        <v>0.0</v>
      </c>
      <c r="D34" s="5">
        <f>(0+0+0+0)/4</f>
        <v>0</v>
      </c>
      <c r="E34" s="6">
        <f t="shared" si="1"/>
        <v>-2.267640985</v>
      </c>
    </row>
    <row r="35">
      <c r="A35" s="3" t="s">
        <v>30</v>
      </c>
      <c r="B35" s="4">
        <v>2024.0</v>
      </c>
      <c r="C35" s="9">
        <v>0.0</v>
      </c>
      <c r="D35" s="5">
        <f>(96+96+0+0)/4</f>
        <v>48</v>
      </c>
      <c r="E35" s="6">
        <f t="shared" si="1"/>
        <v>-2.267640985</v>
      </c>
    </row>
    <row r="36">
      <c r="A36" s="3" t="s">
        <v>31</v>
      </c>
      <c r="B36" s="4">
        <v>2024.0</v>
      </c>
      <c r="C36" s="9">
        <v>0.0</v>
      </c>
      <c r="D36" s="5">
        <f>(87+96+92+43)/4</f>
        <v>79.5</v>
      </c>
      <c r="E36" s="6">
        <f t="shared" si="1"/>
        <v>-2.267640985</v>
      </c>
    </row>
    <row r="37">
      <c r="A37" s="3" t="s">
        <v>25</v>
      </c>
      <c r="B37" s="4">
        <v>2024.0</v>
      </c>
      <c r="C37" s="9">
        <v>0.0</v>
      </c>
      <c r="D37" s="5">
        <f>(0+0+0+0)/4</f>
        <v>0</v>
      </c>
      <c r="E37" s="6">
        <f t="shared" si="1"/>
        <v>-2.267640985</v>
      </c>
    </row>
    <row r="38">
      <c r="A38" s="3" t="s">
        <v>26</v>
      </c>
      <c r="B38" s="4">
        <v>2024.0</v>
      </c>
      <c r="C38" s="9">
        <v>0.0</v>
      </c>
      <c r="D38" s="5">
        <f>(11+5+11+0)/4</f>
        <v>6.75</v>
      </c>
      <c r="E38" s="6">
        <f t="shared" si="1"/>
        <v>-2.267640985</v>
      </c>
    </row>
    <row r="39">
      <c r="A39" s="3" t="s">
        <v>27</v>
      </c>
      <c r="B39" s="4">
        <v>2023.0</v>
      </c>
      <c r="C39" s="5">
        <v>0.005399568</v>
      </c>
      <c r="D39" s="5">
        <f>(88+4+4+0)/4</f>
        <v>24</v>
      </c>
      <c r="E39" s="6">
        <f t="shared" si="1"/>
        <v>-1.966610989</v>
      </c>
    </row>
    <row r="40">
      <c r="A40" s="3" t="s">
        <v>32</v>
      </c>
      <c r="B40" s="4">
        <v>2023.0</v>
      </c>
      <c r="C40" s="5">
        <v>0.005955926</v>
      </c>
      <c r="D40" s="5">
        <f>(95+95+100+75)/4</f>
        <v>91.25</v>
      </c>
      <c r="E40" s="6">
        <f t="shared" si="1"/>
        <v>-1.944793968</v>
      </c>
    </row>
    <row r="41">
      <c r="A41" s="3" t="s">
        <v>33</v>
      </c>
      <c r="B41" s="4">
        <v>2024.0</v>
      </c>
      <c r="C41" s="9">
        <v>0.009578544</v>
      </c>
      <c r="D41" s="5">
        <f>(15+92+61+6)/4</f>
        <v>43.5</v>
      </c>
      <c r="E41" s="6">
        <f t="shared" si="1"/>
        <v>-1.824542926</v>
      </c>
    </row>
    <row r="42">
      <c r="A42" s="3" t="s">
        <v>34</v>
      </c>
      <c r="B42" s="4">
        <v>2024.0</v>
      </c>
      <c r="C42" s="9">
        <v>0.010775862</v>
      </c>
      <c r="D42" s="5">
        <f>(96+95+76+96)/4</f>
        <v>90.75</v>
      </c>
      <c r="E42" s="6">
        <f t="shared" si="1"/>
        <v>-1.791144165</v>
      </c>
    </row>
    <row r="43">
      <c r="A43" s="3" t="s">
        <v>35</v>
      </c>
      <c r="B43" s="4">
        <v>2023.0</v>
      </c>
      <c r="C43" s="5">
        <v>0.022970904</v>
      </c>
      <c r="D43" s="5">
        <f>(0+0+0+0)/4</f>
        <v>0</v>
      </c>
      <c r="E43" s="6">
        <f t="shared" si="1"/>
        <v>-1.547133439</v>
      </c>
    </row>
    <row r="44">
      <c r="A44" s="3" t="s">
        <v>36</v>
      </c>
      <c r="B44" s="4">
        <v>2024.0</v>
      </c>
      <c r="C44" s="9">
        <v>0.033409898</v>
      </c>
      <c r="D44" s="5">
        <f>(46+96+96+73)/4</f>
        <v>77.75</v>
      </c>
      <c r="E44" s="6">
        <f t="shared" si="1"/>
        <v>-1.411062333</v>
      </c>
    </row>
    <row r="45">
      <c r="A45" s="3" t="s">
        <v>37</v>
      </c>
      <c r="B45" s="4">
        <v>2024.0</v>
      </c>
      <c r="C45" s="9">
        <v>0.040268456</v>
      </c>
      <c r="D45" s="5">
        <f>(11+25+0+0)/4</f>
        <v>9</v>
      </c>
      <c r="E45" s="6">
        <f t="shared" si="1"/>
        <v>-1.340387779</v>
      </c>
    </row>
    <row r="46">
      <c r="A46" s="3" t="s">
        <v>15</v>
      </c>
      <c r="B46" s="4">
        <v>2024.0</v>
      </c>
      <c r="C46" s="9">
        <v>0.048283262</v>
      </c>
      <c r="D46" s="5">
        <f>(0+0+0+0)/4</f>
        <v>0</v>
      </c>
      <c r="E46" s="6">
        <f t="shared" si="1"/>
        <v>-1.270164598</v>
      </c>
    </row>
    <row r="47">
      <c r="A47" s="3" t="s">
        <v>32</v>
      </c>
      <c r="B47" s="4">
        <v>2024.0</v>
      </c>
      <c r="C47" s="9">
        <v>0.048746518</v>
      </c>
      <c r="D47" s="5">
        <f>(96+96+26+0)/4</f>
        <v>54.5</v>
      </c>
      <c r="E47" s="6">
        <f t="shared" si="1"/>
        <v>-1.266432931</v>
      </c>
    </row>
    <row r="48">
      <c r="A48" s="3" t="s">
        <v>37</v>
      </c>
      <c r="B48" s="4">
        <v>2023.0</v>
      </c>
      <c r="C48" s="5">
        <v>0.055305203</v>
      </c>
      <c r="D48" s="5">
        <f>98/4</f>
        <v>24.5</v>
      </c>
      <c r="E48" s="6">
        <f t="shared" si="1"/>
        <v>-1.216777175</v>
      </c>
    </row>
    <row r="49">
      <c r="A49" s="3" t="s">
        <v>38</v>
      </c>
      <c r="B49" s="4">
        <v>2024.0</v>
      </c>
      <c r="C49" s="9">
        <v>0.05599711</v>
      </c>
      <c r="D49" s="5">
        <f>(96+93+96+13)/4</f>
        <v>74.5</v>
      </c>
      <c r="E49" s="6">
        <f t="shared" si="1"/>
        <v>-1.211855127</v>
      </c>
    </row>
    <row r="50">
      <c r="A50" s="3" t="s">
        <v>39</v>
      </c>
      <c r="B50" s="4">
        <v>2024.0</v>
      </c>
      <c r="C50" s="9">
        <v>0.062466051</v>
      </c>
      <c r="D50" s="5">
        <f>(0+24+92+0)/4</f>
        <v>29</v>
      </c>
      <c r="E50" s="6">
        <f t="shared" si="1"/>
        <v>-1.168350185</v>
      </c>
    </row>
    <row r="51">
      <c r="A51" s="3" t="s">
        <v>40</v>
      </c>
      <c r="B51" s="4">
        <v>2024.0</v>
      </c>
      <c r="C51" s="9">
        <v>0.069332101</v>
      </c>
      <c r="D51" s="5">
        <f>(0+10+0+1)/4</f>
        <v>2.75</v>
      </c>
      <c r="E51" s="6">
        <f t="shared" si="1"/>
        <v>-1.126495318</v>
      </c>
    </row>
    <row r="52">
      <c r="A52" s="3" t="s">
        <v>41</v>
      </c>
      <c r="B52" s="4">
        <v>2023.0</v>
      </c>
      <c r="C52" s="5">
        <v>0.069767442</v>
      </c>
      <c r="D52" s="5">
        <f>(0+0+0+32)/4</f>
        <v>8</v>
      </c>
      <c r="E52" s="6">
        <f t="shared" si="1"/>
        <v>-1.123972725</v>
      </c>
    </row>
    <row r="53">
      <c r="A53" s="3" t="s">
        <v>20</v>
      </c>
      <c r="B53" s="4">
        <v>2024.0</v>
      </c>
      <c r="C53" s="9">
        <v>0.070082165</v>
      </c>
      <c r="D53" s="5">
        <f>(0+0+0+0)/4</f>
        <v>0</v>
      </c>
      <c r="E53" s="6">
        <f t="shared" si="1"/>
        <v>-1.122158137</v>
      </c>
    </row>
    <row r="54">
      <c r="A54" s="3" t="s">
        <v>38</v>
      </c>
      <c r="B54" s="4">
        <v>2023.0</v>
      </c>
      <c r="C54" s="5">
        <v>0.071580064</v>
      </c>
      <c r="D54" s="5">
        <f>(86+100+90+88)/4</f>
        <v>91</v>
      </c>
      <c r="E54" s="6">
        <f t="shared" si="1"/>
        <v>-1.113624169</v>
      </c>
    </row>
    <row r="55">
      <c r="A55" s="3" t="s">
        <v>42</v>
      </c>
      <c r="B55" s="4">
        <v>2024.0</v>
      </c>
      <c r="C55" s="9">
        <v>0.08203125</v>
      </c>
      <c r="D55" s="5">
        <f>(35+72+84+36)/4</f>
        <v>56.75</v>
      </c>
      <c r="E55" s="6">
        <f t="shared" si="1"/>
        <v>-1.058335458</v>
      </c>
    </row>
    <row r="56">
      <c r="A56" s="3" t="s">
        <v>43</v>
      </c>
      <c r="B56" s="4">
        <v>2023.0</v>
      </c>
      <c r="C56" s="5">
        <v>0.083732057</v>
      </c>
      <c r="D56" s="5">
        <f>(56+90+26+96)/4</f>
        <v>67</v>
      </c>
      <c r="E56" s="6">
        <f t="shared" si="1"/>
        <v>-1.049968176</v>
      </c>
    </row>
    <row r="57">
      <c r="A57" s="3" t="s">
        <v>35</v>
      </c>
      <c r="B57" s="4">
        <v>2024.0</v>
      </c>
      <c r="C57" s="9">
        <v>0.084889643</v>
      </c>
      <c r="D57" s="5">
        <f>(13+35+2+0)/4</f>
        <v>12.5</v>
      </c>
      <c r="E57" s="6">
        <f t="shared" si="1"/>
        <v>-1.044364142</v>
      </c>
    </row>
    <row r="58">
      <c r="A58" s="3" t="s">
        <v>40</v>
      </c>
      <c r="B58" s="4">
        <v>2023.0</v>
      </c>
      <c r="C58" s="5">
        <v>0.095070423</v>
      </c>
      <c r="D58" s="5">
        <f>(0+0+20+55)/4</f>
        <v>18.75</v>
      </c>
      <c r="E58" s="6">
        <f t="shared" si="1"/>
        <v>-0.9979636366</v>
      </c>
    </row>
    <row r="59">
      <c r="A59" s="3" t="s">
        <v>6</v>
      </c>
      <c r="B59" s="4">
        <v>2024.0</v>
      </c>
      <c r="C59" s="9">
        <v>0.100624566</v>
      </c>
      <c r="D59" s="5">
        <f>(0+10+21+13)/4</f>
        <v>11</v>
      </c>
      <c r="E59" s="6">
        <f t="shared" si="1"/>
        <v>-0.9745952662</v>
      </c>
    </row>
    <row r="60">
      <c r="A60" s="3" t="s">
        <v>44</v>
      </c>
      <c r="B60" s="4">
        <v>2024.0</v>
      </c>
      <c r="C60" s="9">
        <v>0.102986612</v>
      </c>
      <c r="D60" s="5">
        <f>(88+9+46+80)/4</f>
        <v>55.75</v>
      </c>
      <c r="E60" s="6">
        <f t="shared" si="1"/>
        <v>-0.9650260899</v>
      </c>
    </row>
    <row r="61">
      <c r="A61" s="3" t="s">
        <v>30</v>
      </c>
      <c r="B61" s="4">
        <v>2023.0</v>
      </c>
      <c r="C61" s="5">
        <v>0.132517839</v>
      </c>
      <c r="D61" s="5">
        <f>(75+0+0+90)/4</f>
        <v>41.25</v>
      </c>
      <c r="E61" s="6">
        <f t="shared" si="1"/>
        <v>-0.8603809167</v>
      </c>
    </row>
    <row r="62">
      <c r="A62" s="3" t="s">
        <v>45</v>
      </c>
      <c r="B62" s="4">
        <v>2023.0</v>
      </c>
      <c r="C62" s="5">
        <v>0.133101852</v>
      </c>
      <c r="D62" s="5">
        <f>(0+0+0+14)/4</f>
        <v>3.5</v>
      </c>
      <c r="E62" s="6">
        <f t="shared" si="1"/>
        <v>-0.8585457739</v>
      </c>
    </row>
    <row r="63">
      <c r="A63" s="3" t="s">
        <v>46</v>
      </c>
      <c r="B63" s="4">
        <v>2024.0</v>
      </c>
      <c r="C63" s="9">
        <v>0.139891697</v>
      </c>
      <c r="D63" s="5">
        <f>(46+0+0+0)/4</f>
        <v>11.5</v>
      </c>
      <c r="E63" s="6">
        <f t="shared" si="1"/>
        <v>-0.837760495</v>
      </c>
    </row>
    <row r="64">
      <c r="A64" s="3" t="s">
        <v>45</v>
      </c>
      <c r="B64" s="4">
        <v>2024.0</v>
      </c>
      <c r="C64" s="9">
        <v>0.164473684</v>
      </c>
      <c r="D64" s="5">
        <f>(18+0+0+96)/4</f>
        <v>28.5</v>
      </c>
      <c r="E64" s="6">
        <f t="shared" si="1"/>
        <v>-0.7698749991</v>
      </c>
    </row>
    <row r="65">
      <c r="A65" s="3" t="s">
        <v>31</v>
      </c>
      <c r="B65" s="4">
        <v>2023.0</v>
      </c>
      <c r="C65" s="5">
        <v>0.165447025</v>
      </c>
      <c r="D65" s="5">
        <f>(16+92+100+60)/4</f>
        <v>67</v>
      </c>
      <c r="E65" s="6">
        <f t="shared" si="1"/>
        <v>-0.7673936774</v>
      </c>
    </row>
    <row r="66">
      <c r="A66" s="3" t="s">
        <v>33</v>
      </c>
      <c r="B66" s="4">
        <v>2023.0</v>
      </c>
      <c r="C66" s="5">
        <v>0.169721656</v>
      </c>
      <c r="D66" s="5">
        <f>(83+10+7)/3</f>
        <v>33.33333333</v>
      </c>
      <c r="E66" s="6">
        <f t="shared" si="1"/>
        <v>-0.756661216</v>
      </c>
    </row>
    <row r="67">
      <c r="A67" s="3" t="s">
        <v>12</v>
      </c>
      <c r="B67" s="4">
        <v>2024.0</v>
      </c>
      <c r="C67" s="9">
        <v>0.176168339</v>
      </c>
      <c r="D67" s="5">
        <f>average(6+0+0+4)</f>
        <v>10</v>
      </c>
      <c r="E67" s="6">
        <f t="shared" si="1"/>
        <v>-0.7409609127</v>
      </c>
    </row>
    <row r="68">
      <c r="A68" s="3" t="s">
        <v>29</v>
      </c>
      <c r="B68" s="4">
        <v>2023.0</v>
      </c>
      <c r="C68" s="5">
        <v>0.222419929</v>
      </c>
      <c r="D68" s="5">
        <f>(64+29+27)/3</f>
        <v>40</v>
      </c>
      <c r="E68" s="6">
        <f t="shared" si="1"/>
        <v>-0.6424091113</v>
      </c>
    </row>
    <row r="69">
      <c r="A69" s="3" t="s">
        <v>47</v>
      </c>
      <c r="B69" s="4">
        <v>2024.0</v>
      </c>
      <c r="C69" s="9">
        <v>0.238636364</v>
      </c>
      <c r="D69" s="5">
        <f>(96+96+33+42)/4</f>
        <v>66.75</v>
      </c>
      <c r="E69" s="6">
        <f t="shared" si="1"/>
        <v>-0.6125462232</v>
      </c>
    </row>
    <row r="70">
      <c r="A70" s="3" t="s">
        <v>28</v>
      </c>
      <c r="B70" s="4">
        <v>2023.0</v>
      </c>
      <c r="C70" s="5">
        <v>0.251396648</v>
      </c>
      <c r="D70" s="5">
        <f>2/4</f>
        <v>0.5</v>
      </c>
      <c r="E70" s="6">
        <f t="shared" si="1"/>
        <v>-0.5904113801</v>
      </c>
    </row>
    <row r="71">
      <c r="A71" s="3" t="s">
        <v>43</v>
      </c>
      <c r="B71" s="4">
        <v>2024.0</v>
      </c>
      <c r="C71" s="9">
        <v>0.27</v>
      </c>
      <c r="D71" s="5">
        <f>(0+0+4+11)/4</f>
        <v>3.75</v>
      </c>
      <c r="E71" s="6">
        <f t="shared" si="1"/>
        <v>-0.5600367453</v>
      </c>
    </row>
    <row r="72">
      <c r="A72" s="3" t="s">
        <v>39</v>
      </c>
      <c r="B72" s="4">
        <v>2023.0</v>
      </c>
      <c r="C72" s="5">
        <v>0.304</v>
      </c>
      <c r="D72" s="5">
        <f>(0+0+72+6)/4</f>
        <v>19.5</v>
      </c>
      <c r="E72" s="6">
        <f t="shared" si="1"/>
        <v>-0.509480297</v>
      </c>
    </row>
    <row r="73">
      <c r="A73" s="3" t="s">
        <v>48</v>
      </c>
      <c r="B73" s="4">
        <v>2024.0</v>
      </c>
      <c r="C73" s="9">
        <v>0.310650888</v>
      </c>
      <c r="D73" s="5">
        <f>(0+44+4+96)/4</f>
        <v>36</v>
      </c>
      <c r="E73" s="6">
        <f t="shared" si="1"/>
        <v>-0.5002435787</v>
      </c>
    </row>
    <row r="74">
      <c r="A74" s="3" t="s">
        <v>47</v>
      </c>
      <c r="B74" s="4">
        <v>2023.0</v>
      </c>
      <c r="C74" s="5">
        <v>0.316686967</v>
      </c>
      <c r="D74" s="5">
        <f>(96+85+90+70)/4</f>
        <v>85.25</v>
      </c>
      <c r="E74" s="6">
        <f t="shared" si="1"/>
        <v>-0.4920274307</v>
      </c>
    </row>
    <row r="75">
      <c r="A75" s="3" t="s">
        <v>42</v>
      </c>
      <c r="B75" s="4">
        <v>2023.0</v>
      </c>
      <c r="C75" s="5">
        <v>0.348837209</v>
      </c>
      <c r="D75" s="5">
        <f>(98+81+100+94)/4</f>
        <v>93.25</v>
      </c>
      <c r="E75" s="6">
        <f t="shared" si="1"/>
        <v>-0.4507063522</v>
      </c>
    </row>
    <row r="76">
      <c r="A76" s="3" t="s">
        <v>34</v>
      </c>
      <c r="B76" s="4">
        <v>2023.0</v>
      </c>
      <c r="C76" s="5">
        <v>0.406626506</v>
      </c>
      <c r="D76" s="5">
        <f>(100+100+20+100)/4</f>
        <v>80</v>
      </c>
      <c r="E76" s="6">
        <f t="shared" si="1"/>
        <v>-0.3850752999</v>
      </c>
    </row>
    <row r="77">
      <c r="A77" s="3" t="s">
        <v>36</v>
      </c>
      <c r="B77" s="4">
        <v>2023.0</v>
      </c>
      <c r="C77" s="5">
        <v>0.888157895</v>
      </c>
      <c r="D77" s="5">
        <f>(0+5+0+90)/4</f>
        <v>23.75</v>
      </c>
      <c r="E77" s="6">
        <f t="shared" si="1"/>
        <v>-0.0488775136</v>
      </c>
    </row>
    <row r="78">
      <c r="A78" s="3" t="s">
        <v>41</v>
      </c>
      <c r="B78" s="4">
        <v>2024.0</v>
      </c>
      <c r="C78" s="9">
        <v>1.25</v>
      </c>
      <c r="D78" s="5">
        <f>(0+0+0+0)/4</f>
        <v>0</v>
      </c>
      <c r="E78" s="6">
        <f t="shared" si="1"/>
        <v>0.09878197487</v>
      </c>
    </row>
    <row r="79">
      <c r="A79" s="3" t="s">
        <v>44</v>
      </c>
      <c r="B79" s="4">
        <v>2023.0</v>
      </c>
      <c r="C79" s="5">
        <v>1.398305085</v>
      </c>
      <c r="D79" s="5">
        <f>(0+5+10+20)/4</f>
        <v>8.75</v>
      </c>
      <c r="E79" s="6">
        <f t="shared" si="1"/>
        <v>0.1472757395</v>
      </c>
    </row>
    <row r="80">
      <c r="A80" s="3" t="s">
        <v>48</v>
      </c>
      <c r="B80" s="4">
        <v>2023.0</v>
      </c>
      <c r="C80" s="5">
        <v>1.41509434</v>
      </c>
      <c r="D80" s="5">
        <f>(0+10+5+10)/4</f>
        <v>6.25</v>
      </c>
      <c r="E80" s="6">
        <f t="shared" si="1"/>
        <v>0.1524393755</v>
      </c>
    </row>
    <row r="81">
      <c r="A81" s="3" t="s">
        <v>46</v>
      </c>
      <c r="B81" s="4">
        <v>2023.0</v>
      </c>
      <c r="C81" s="5">
        <v>2.083333333</v>
      </c>
      <c r="D81" s="5">
        <f>(0+0+6+0)/4</f>
        <v>1.5</v>
      </c>
      <c r="E81" s="6">
        <f t="shared" si="1"/>
        <v>0.3198829076</v>
      </c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</sheetData>
  <drawing r:id="rId1"/>
</worksheet>
</file>